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aela\Desktop\INE\INVESTIGACIÓN\DIABETES\Carga de enfermedad\Procesamiento R - old\Bases de datos\"/>
    </mc:Choice>
  </mc:AlternateContent>
  <bookViews>
    <workbookView xWindow="0" yWindow="0" windowWidth="2049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22" i="1"/>
  <c r="G25" i="1" l="1"/>
  <c r="G28" i="1" l="1"/>
  <c r="G26" i="1"/>
  <c r="G24" i="1"/>
  <c r="G23" i="1"/>
  <c r="G20" i="1"/>
  <c r="G14" i="1"/>
  <c r="G11" i="1"/>
  <c r="G4" i="1"/>
  <c r="G2" i="1"/>
</calcChain>
</file>

<file path=xl/sharedStrings.xml><?xml version="1.0" encoding="utf-8"?>
<sst xmlns="http://schemas.openxmlformats.org/spreadsheetml/2006/main" count="271" uniqueCount="82">
  <si>
    <t>tipo_complicación crónica</t>
  </si>
  <si>
    <t>complicación crónica_Qualidiab</t>
  </si>
  <si>
    <t>descripción</t>
  </si>
  <si>
    <t>secuela_GBD</t>
  </si>
  <si>
    <t>específico_DM?</t>
  </si>
  <si>
    <t>DW_secuela</t>
  </si>
  <si>
    <t>DW_final (único_DW o promedio_DW)</t>
  </si>
  <si>
    <t>comentarios_DW_GBD</t>
  </si>
  <si>
    <t>macrovascular</t>
  </si>
  <si>
    <t>IAM</t>
  </si>
  <si>
    <t>Infarto agudo de miocardo</t>
  </si>
  <si>
    <t>Acute myocardial infarction first 2 days</t>
  </si>
  <si>
    <t>no</t>
  </si>
  <si>
    <t>Mismos niveles para cualquier cardiopatía general</t>
  </si>
  <si>
    <t>Acute myocardial infarction 3 to 28 days</t>
  </si>
  <si>
    <t>IC</t>
  </si>
  <si>
    <t>Insuficiencia cardíaca</t>
  </si>
  <si>
    <t>Mild heart failure due to other cardiovascular diseases</t>
  </si>
  <si>
    <t>Moderate heart failure due to other cardiovascular diseases</t>
  </si>
  <si>
    <t>Severe heart failure due to other cardiovascular diseases</t>
  </si>
  <si>
    <t>Controlled, medically managed heart failure due to other cardiovascular disease</t>
  </si>
  <si>
    <t>HVI</t>
  </si>
  <si>
    <t>Hipertrofia ventricular izquierda</t>
  </si>
  <si>
    <t>No registrado</t>
  </si>
  <si>
    <t/>
  </si>
  <si>
    <t>Stent</t>
  </si>
  <si>
    <t>Colocación de stent</t>
  </si>
  <si>
    <t>CRM</t>
  </si>
  <si>
    <t>Claudicación miembros inferiores</t>
  </si>
  <si>
    <t>Claudicación de miembros inferiores</t>
  </si>
  <si>
    <t>Symptomatic claudication due to peripheral arterial disease</t>
  </si>
  <si>
    <t>Revascularización</t>
  </si>
  <si>
    <t>Hipotensión ortostática</t>
  </si>
  <si>
    <t>ACV</t>
  </si>
  <si>
    <t>Accidente cerebrovascular</t>
  </si>
  <si>
    <t>Acute ischemic stroke severity level 1</t>
  </si>
  <si>
    <t>Mismos niveles para ACV agudo o crónico</t>
  </si>
  <si>
    <t>Acute ischemic stroke severity level 2</t>
  </si>
  <si>
    <t>Acute ischemic stroke severity level 3</t>
  </si>
  <si>
    <t>Acute ischemic stroke severity level 4</t>
  </si>
  <si>
    <t>Acute ischemic stroke severity level 5</t>
  </si>
  <si>
    <t>AIT</t>
  </si>
  <si>
    <t>Accidente isquémico transitorio</t>
  </si>
  <si>
    <t>microvascular</t>
  </si>
  <si>
    <t>Retinopatía no proliferativa</t>
  </si>
  <si>
    <t>sí</t>
  </si>
  <si>
    <t>Retinopatía proliferativa</t>
  </si>
  <si>
    <t>Ceguera</t>
  </si>
  <si>
    <t>Neuropatía periférica</t>
  </si>
  <si>
    <t xml:space="preserve">Diabetic neuropathy due to diabetes mellitus type 2, without diabetic foot or amputation </t>
  </si>
  <si>
    <t>Mismo valor para DM1 y DM2</t>
  </si>
  <si>
    <t>Disfunción eréctil</t>
  </si>
  <si>
    <t>Amputación</t>
  </si>
  <si>
    <t>Diabetic neuropathy and amputation with treatment due to diabetes mellitus type 2</t>
  </si>
  <si>
    <t>Diabetic neuropathy and amputation without treatment due to diabetes mellitus type 2</t>
  </si>
  <si>
    <t>Nefropatía</t>
  </si>
  <si>
    <t>Stage 3 chronic kidney disease and mild anemia due to type 2 diabetes mellitus</t>
  </si>
  <si>
    <t>Stage 3 chronic kidney disease and moderate anemia due to type 2 diabetes mellitus</t>
  </si>
  <si>
    <t>Stage 3 chronic kidney disease and severe anemia due to type 2 diabetes mellitus</t>
  </si>
  <si>
    <t>Stage 3 chronic kidney disease without anemia due to type 2 diabetes mellitus</t>
  </si>
  <si>
    <t>Stage 4 chronic kidney disease untreated without anemia due to type 2 diabetes mellitus</t>
  </si>
  <si>
    <t>Stage 4 chronic kidney disease untreated and mild anemia due to type 2 diabetes mellitus</t>
  </si>
  <si>
    <t>Stage 4 chronic kidney disease untreated and moderate anemia due to type 2 diabetes mellitus</t>
  </si>
  <si>
    <t>Stage 4 chronic kidney disease untreated and severe anemia due to type 2 diabetes mellitus</t>
  </si>
  <si>
    <t>Stage 5 chronic kidney disease untreated without anemia due to type 2 diabetes mellitus</t>
  </si>
  <si>
    <t>Stage 5 chronic kidney disease untreated and mild anemia due to type 2 diabetes mellitus</t>
  </si>
  <si>
    <t>Stage 5 chronic kidney disease untreated and moderate anemia due to type 2 diabetes mellitus</t>
  </si>
  <si>
    <t>Stage 5 chronic kidney disease untreated and severe anemia due to type 2 diabetes mellitus</t>
  </si>
  <si>
    <t>Diálisis / Transplante</t>
  </si>
  <si>
    <t>End-stage renal disease after transplant due to type 2 diabetes mellitus</t>
  </si>
  <si>
    <t>End-stage renal disease on dialysis without anemia due to type 2 diabetes mellitus</t>
  </si>
  <si>
    <t>End-stage renal disease on dialysis and mild anemia due to type 2 diabetes mellitus</t>
  </si>
  <si>
    <t>End-stage renal disease on dialysis and moderate anemia due to type 2 diabetes mellitus</t>
  </si>
  <si>
    <t>End-stage renal disease on dialysis and severe anemia due to type 2 diabetes mellitus</t>
  </si>
  <si>
    <t>Moderate vision impairment due to diabetes mellitus type 2 retinopathy</t>
  </si>
  <si>
    <t>Severe vision impairment due to diabetes mellitus type 2 retinopathy</t>
  </si>
  <si>
    <t>Blindness due to diabetes mellitus type 2 retinopathy</t>
  </si>
  <si>
    <t>Revascularización cardíaca</t>
  </si>
  <si>
    <t>Revascularización de miembros inferiores</t>
  </si>
  <si>
    <t>Se asume valor de neuropatía periférica</t>
  </si>
  <si>
    <t>Se usa valor de DW severo</t>
  </si>
  <si>
    <t>Se usa valor promedio de 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</si>
</sst>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/>
    <xf numFmtId="0" fontId="0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3" borderId="3" xfId="0" applyFont="1" applyFill="1" applyBorder="1" applyAlignment="1"/>
    <xf numFmtId="0" fontId="0" fillId="0" borderId="3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/>
    <xf numFmtId="0" fontId="1" fillId="0" borderId="0" xfId="0" applyFont="1" applyFill="1" applyAlignment="1">
      <alignment vertical="center"/>
    </xf>
    <xf numFmtId="0" fontId="0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topLeftCell="A25" zoomScale="80" zoomScaleNormal="80" workbookViewId="0">
      <selection activeCell="D49" sqref="D49"/>
    </sheetView>
  </sheetViews>
  <sheetFormatPr baseColWidth="10" defaultRowHeight="15" x14ac:dyDescent="0.25"/>
  <cols>
    <col min="1" max="1" width="24.140625" style="3" bestFit="1" customWidth="1"/>
    <col min="2" max="2" width="31.140625" style="28" bestFit="1" customWidth="1"/>
    <col min="3" max="3" width="44.28515625" style="3" bestFit="1" customWidth="1"/>
    <col min="4" max="4" width="48.42578125" style="3" customWidth="1"/>
    <col min="5" max="5" width="15.28515625" style="3" bestFit="1" customWidth="1"/>
    <col min="6" max="6" width="12.28515625" style="3" bestFit="1" customWidth="1"/>
    <col min="7" max="7" width="23.28515625" style="3" customWidth="1"/>
    <col min="8" max="8" width="23" style="3" customWidth="1"/>
    <col min="9" max="16384" width="11.42578125" style="3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5">
      <c r="A2" s="4" t="s">
        <v>8</v>
      </c>
      <c r="B2" s="5" t="s">
        <v>9</v>
      </c>
      <c r="C2" s="4" t="s">
        <v>10</v>
      </c>
      <c r="D2" s="6" t="s">
        <v>11</v>
      </c>
      <c r="E2" s="6" t="s">
        <v>12</v>
      </c>
      <c r="F2" s="7">
        <v>0.432</v>
      </c>
      <c r="G2" s="8">
        <f>AVERAGE(F2:F3)</f>
        <v>0.253</v>
      </c>
      <c r="H2" s="4" t="s">
        <v>13</v>
      </c>
    </row>
    <row r="3" spans="1:8" x14ac:dyDescent="0.25">
      <c r="A3" s="9" t="s">
        <v>8</v>
      </c>
      <c r="B3" s="10" t="s">
        <v>9</v>
      </c>
      <c r="C3" s="9" t="s">
        <v>10</v>
      </c>
      <c r="D3" s="11" t="s">
        <v>14</v>
      </c>
      <c r="E3" s="11" t="s">
        <v>12</v>
      </c>
      <c r="F3" s="12">
        <v>7.3999999999999996E-2</v>
      </c>
      <c r="G3" s="13"/>
      <c r="H3" s="9" t="s">
        <v>13</v>
      </c>
    </row>
    <row r="4" spans="1:8" x14ac:dyDescent="0.25">
      <c r="A4" s="4" t="s">
        <v>8</v>
      </c>
      <c r="B4" s="5" t="s">
        <v>15</v>
      </c>
      <c r="C4" s="4" t="s">
        <v>16</v>
      </c>
      <c r="D4" s="6" t="s">
        <v>17</v>
      </c>
      <c r="E4" s="6" t="s">
        <v>12</v>
      </c>
      <c r="F4" s="7">
        <v>4.1000000000000002E-2</v>
      </c>
      <c r="G4" s="8">
        <f>AVERAGE(F4:F7)</f>
        <v>8.5249999999999992E-2</v>
      </c>
      <c r="H4" s="4"/>
    </row>
    <row r="5" spans="1:8" x14ac:dyDescent="0.25">
      <c r="A5" s="14" t="s">
        <v>8</v>
      </c>
      <c r="B5" s="15" t="s">
        <v>15</v>
      </c>
      <c r="C5" s="14" t="s">
        <v>16</v>
      </c>
      <c r="D5" s="16" t="s">
        <v>18</v>
      </c>
      <c r="E5" s="16" t="s">
        <v>12</v>
      </c>
      <c r="F5" s="17">
        <v>7.1999999999999995E-2</v>
      </c>
      <c r="G5" s="18"/>
      <c r="H5" s="14"/>
    </row>
    <row r="6" spans="1:8" x14ac:dyDescent="0.25">
      <c r="A6" s="14" t="s">
        <v>8</v>
      </c>
      <c r="B6" s="15" t="s">
        <v>15</v>
      </c>
      <c r="C6" s="14" t="s">
        <v>16</v>
      </c>
      <c r="D6" s="16" t="s">
        <v>19</v>
      </c>
      <c r="E6" s="16" t="s">
        <v>12</v>
      </c>
      <c r="F6" s="17">
        <v>0.17899999999999999</v>
      </c>
      <c r="G6" s="18"/>
      <c r="H6" s="14"/>
    </row>
    <row r="7" spans="1:8" x14ac:dyDescent="0.25">
      <c r="A7" s="9" t="s">
        <v>8</v>
      </c>
      <c r="B7" s="10" t="s">
        <v>15</v>
      </c>
      <c r="C7" s="9" t="s">
        <v>16</v>
      </c>
      <c r="D7" s="11" t="s">
        <v>20</v>
      </c>
      <c r="E7" s="11" t="s">
        <v>12</v>
      </c>
      <c r="F7" s="12">
        <v>4.9000000000000002E-2</v>
      </c>
      <c r="G7" s="13"/>
      <c r="H7" s="9"/>
    </row>
    <row r="8" spans="1:8" x14ac:dyDescent="0.25">
      <c r="A8" s="19" t="s">
        <v>8</v>
      </c>
      <c r="B8" s="20" t="s">
        <v>21</v>
      </c>
      <c r="C8" s="19" t="s">
        <v>22</v>
      </c>
      <c r="D8" s="21" t="s">
        <v>23</v>
      </c>
      <c r="E8" s="21"/>
      <c r="F8" s="21" t="s">
        <v>24</v>
      </c>
      <c r="G8" s="22"/>
      <c r="H8" s="19"/>
    </row>
    <row r="9" spans="1:8" x14ac:dyDescent="0.25">
      <c r="A9" s="19" t="s">
        <v>8</v>
      </c>
      <c r="B9" s="20" t="s">
        <v>25</v>
      </c>
      <c r="C9" s="19" t="s">
        <v>26</v>
      </c>
      <c r="D9" s="21" t="s">
        <v>23</v>
      </c>
      <c r="E9" s="21"/>
      <c r="F9" s="21" t="s">
        <v>24</v>
      </c>
      <c r="G9" s="22"/>
      <c r="H9" s="19"/>
    </row>
    <row r="10" spans="1:8" x14ac:dyDescent="0.25">
      <c r="A10" s="19" t="s">
        <v>8</v>
      </c>
      <c r="B10" s="20" t="s">
        <v>27</v>
      </c>
      <c r="C10" s="19" t="s">
        <v>77</v>
      </c>
      <c r="D10" s="21" t="s">
        <v>23</v>
      </c>
      <c r="E10" s="21"/>
      <c r="F10" s="21" t="s">
        <v>24</v>
      </c>
      <c r="G10" s="22"/>
      <c r="H10" s="19"/>
    </row>
    <row r="11" spans="1:8" x14ac:dyDescent="0.25">
      <c r="A11" s="23" t="s">
        <v>8</v>
      </c>
      <c r="B11" s="24" t="s">
        <v>28</v>
      </c>
      <c r="C11" s="23" t="s">
        <v>29</v>
      </c>
      <c r="D11" s="25" t="s">
        <v>30</v>
      </c>
      <c r="E11" s="25" t="s">
        <v>12</v>
      </c>
      <c r="F11" s="26">
        <v>1.4E-2</v>
      </c>
      <c r="G11" s="27">
        <f>F11</f>
        <v>1.4E-2</v>
      </c>
      <c r="H11" s="23"/>
    </row>
    <row r="12" spans="1:8" x14ac:dyDescent="0.25">
      <c r="A12" s="19" t="s">
        <v>8</v>
      </c>
      <c r="B12" s="20" t="s">
        <v>31</v>
      </c>
      <c r="C12" s="19" t="s">
        <v>78</v>
      </c>
      <c r="D12" s="21" t="s">
        <v>23</v>
      </c>
      <c r="E12" s="21"/>
      <c r="F12" s="21" t="s">
        <v>24</v>
      </c>
      <c r="G12" s="22"/>
      <c r="H12" s="19"/>
    </row>
    <row r="13" spans="1:8" x14ac:dyDescent="0.25">
      <c r="A13" s="19" t="s">
        <v>8</v>
      </c>
      <c r="B13" s="20" t="s">
        <v>32</v>
      </c>
      <c r="C13" s="19" t="s">
        <v>32</v>
      </c>
      <c r="D13" s="21" t="s">
        <v>23</v>
      </c>
      <c r="E13" s="21"/>
      <c r="F13" s="21" t="s">
        <v>24</v>
      </c>
      <c r="G13" s="22"/>
      <c r="H13" s="19"/>
    </row>
    <row r="14" spans="1:8" x14ac:dyDescent="0.25">
      <c r="A14" s="4" t="s">
        <v>8</v>
      </c>
      <c r="B14" s="5" t="s">
        <v>33</v>
      </c>
      <c r="C14" s="4" t="s">
        <v>34</v>
      </c>
      <c r="D14" s="6" t="s">
        <v>35</v>
      </c>
      <c r="E14" s="6" t="s">
        <v>12</v>
      </c>
      <c r="F14" s="7">
        <v>1.9E-2</v>
      </c>
      <c r="G14" s="8">
        <f>AVERAGE(F14:F18)</f>
        <v>0.309</v>
      </c>
      <c r="H14" s="4" t="s">
        <v>36</v>
      </c>
    </row>
    <row r="15" spans="1:8" x14ac:dyDescent="0.25">
      <c r="A15" s="14" t="s">
        <v>8</v>
      </c>
      <c r="B15" s="15" t="s">
        <v>33</v>
      </c>
      <c r="C15" s="14" t="s">
        <v>34</v>
      </c>
      <c r="D15" s="16" t="s">
        <v>37</v>
      </c>
      <c r="E15" s="16" t="s">
        <v>12</v>
      </c>
      <c r="F15" s="17">
        <v>7.0000000000000007E-2</v>
      </c>
      <c r="G15" s="18"/>
      <c r="H15" s="14" t="s">
        <v>36</v>
      </c>
    </row>
    <row r="16" spans="1:8" x14ac:dyDescent="0.25">
      <c r="A16" s="14" t="s">
        <v>8</v>
      </c>
      <c r="B16" s="15" t="s">
        <v>33</v>
      </c>
      <c r="C16" s="14" t="s">
        <v>34</v>
      </c>
      <c r="D16" s="16" t="s">
        <v>38</v>
      </c>
      <c r="E16" s="16" t="s">
        <v>12</v>
      </c>
      <c r="F16" s="17">
        <v>0.316</v>
      </c>
      <c r="G16" s="18"/>
      <c r="H16" s="14"/>
    </row>
    <row r="17" spans="1:8" x14ac:dyDescent="0.25">
      <c r="A17" s="14" t="s">
        <v>8</v>
      </c>
      <c r="B17" s="15" t="s">
        <v>33</v>
      </c>
      <c r="C17" s="14" t="s">
        <v>34</v>
      </c>
      <c r="D17" s="16" t="s">
        <v>39</v>
      </c>
      <c r="E17" s="16" t="s">
        <v>12</v>
      </c>
      <c r="F17" s="17">
        <v>0.55200000000000005</v>
      </c>
      <c r="G17" s="18"/>
      <c r="H17" s="14"/>
    </row>
    <row r="18" spans="1:8" x14ac:dyDescent="0.25">
      <c r="A18" s="9" t="s">
        <v>8</v>
      </c>
      <c r="B18" s="10" t="s">
        <v>33</v>
      </c>
      <c r="C18" s="9" t="s">
        <v>34</v>
      </c>
      <c r="D18" s="11" t="s">
        <v>40</v>
      </c>
      <c r="E18" s="11" t="s">
        <v>12</v>
      </c>
      <c r="F18" s="12">
        <v>0.58799999999999997</v>
      </c>
      <c r="G18" s="13"/>
      <c r="H18" s="9"/>
    </row>
    <row r="19" spans="1:8" x14ac:dyDescent="0.25">
      <c r="A19" s="19" t="s">
        <v>8</v>
      </c>
      <c r="B19" s="20" t="s">
        <v>41</v>
      </c>
      <c r="C19" s="19" t="s">
        <v>42</v>
      </c>
      <c r="D19" s="21" t="s">
        <v>23</v>
      </c>
      <c r="E19" s="21"/>
      <c r="F19" s="21" t="s">
        <v>24</v>
      </c>
      <c r="G19" s="22"/>
      <c r="H19" s="19"/>
    </row>
    <row r="20" spans="1:8" x14ac:dyDescent="0.25">
      <c r="A20" s="4" t="s">
        <v>43</v>
      </c>
      <c r="B20" s="5" t="s">
        <v>44</v>
      </c>
      <c r="C20" s="4" t="s">
        <v>44</v>
      </c>
      <c r="D20" s="6" t="s">
        <v>74</v>
      </c>
      <c r="E20" s="6" t="s">
        <v>45</v>
      </c>
      <c r="F20" s="7">
        <v>3.1E-2</v>
      </c>
      <c r="G20" s="8">
        <f>AVERAGE(F20:F21)</f>
        <v>0.1075</v>
      </c>
      <c r="H20" s="4" t="s">
        <v>81</v>
      </c>
    </row>
    <row r="21" spans="1:8" x14ac:dyDescent="0.25">
      <c r="A21" s="9" t="s">
        <v>43</v>
      </c>
      <c r="B21" s="10" t="s">
        <v>44</v>
      </c>
      <c r="C21" s="9" t="s">
        <v>44</v>
      </c>
      <c r="D21" s="11" t="s">
        <v>75</v>
      </c>
      <c r="E21" s="11" t="s">
        <v>45</v>
      </c>
      <c r="F21" s="12">
        <v>0.184</v>
      </c>
      <c r="G21" s="13"/>
      <c r="H21" s="9"/>
    </row>
    <row r="22" spans="1:8" x14ac:dyDescent="0.25">
      <c r="A22" s="4" t="s">
        <v>43</v>
      </c>
      <c r="B22" s="5" t="s">
        <v>46</v>
      </c>
      <c r="C22" s="4" t="s">
        <v>46</v>
      </c>
      <c r="D22" s="6" t="s">
        <v>75</v>
      </c>
      <c r="E22" s="6" t="s">
        <v>45</v>
      </c>
      <c r="F22" s="7">
        <v>0.184</v>
      </c>
      <c r="G22" s="8">
        <f>F22</f>
        <v>0.184</v>
      </c>
      <c r="H22" s="4" t="s">
        <v>80</v>
      </c>
    </row>
    <row r="23" spans="1:8" x14ac:dyDescent="0.25">
      <c r="A23" s="23" t="s">
        <v>43</v>
      </c>
      <c r="B23" s="24" t="s">
        <v>47</v>
      </c>
      <c r="C23" s="23" t="s">
        <v>47</v>
      </c>
      <c r="D23" s="25" t="s">
        <v>76</v>
      </c>
      <c r="E23" s="25" t="s">
        <v>45</v>
      </c>
      <c r="F23" s="26">
        <v>0.187</v>
      </c>
      <c r="G23" s="27">
        <f>F23</f>
        <v>0.187</v>
      </c>
      <c r="H23" s="23"/>
    </row>
    <row r="24" spans="1:8" x14ac:dyDescent="0.25">
      <c r="A24" s="23" t="s">
        <v>43</v>
      </c>
      <c r="B24" s="24" t="s">
        <v>48</v>
      </c>
      <c r="C24" s="23" t="s">
        <v>48</v>
      </c>
      <c r="D24" s="25" t="s">
        <v>49</v>
      </c>
      <c r="E24" s="25" t="s">
        <v>45</v>
      </c>
      <c r="F24" s="26">
        <v>0.13300000000000001</v>
      </c>
      <c r="G24" s="27">
        <f>F24</f>
        <v>0.13300000000000001</v>
      </c>
      <c r="H24" s="23" t="s">
        <v>50</v>
      </c>
    </row>
    <row r="25" spans="1:8" x14ac:dyDescent="0.25">
      <c r="A25" s="19" t="s">
        <v>43</v>
      </c>
      <c r="B25" s="20" t="s">
        <v>51</v>
      </c>
      <c r="C25" s="19" t="s">
        <v>51</v>
      </c>
      <c r="D25" s="21" t="s">
        <v>23</v>
      </c>
      <c r="E25" s="21"/>
      <c r="F25" s="21">
        <v>0.13300000000000001</v>
      </c>
      <c r="G25" s="22">
        <f>F24</f>
        <v>0.13300000000000001</v>
      </c>
      <c r="H25" s="19" t="s">
        <v>79</v>
      </c>
    </row>
    <row r="26" spans="1:8" x14ac:dyDescent="0.25">
      <c r="A26" s="4" t="s">
        <v>43</v>
      </c>
      <c r="B26" s="5" t="s">
        <v>52</v>
      </c>
      <c r="C26" s="4" t="s">
        <v>52</v>
      </c>
      <c r="D26" s="6" t="s">
        <v>53</v>
      </c>
      <c r="E26" s="6" t="s">
        <v>45</v>
      </c>
      <c r="F26" s="7">
        <v>0.16700000000000001</v>
      </c>
      <c r="G26" s="8">
        <f>AVERAGE(F26:F27)</f>
        <v>0.22449999999999998</v>
      </c>
      <c r="H26" s="4"/>
    </row>
    <row r="27" spans="1:8" x14ac:dyDescent="0.25">
      <c r="A27" s="9" t="s">
        <v>43</v>
      </c>
      <c r="B27" s="10" t="s">
        <v>52</v>
      </c>
      <c r="C27" s="9" t="s">
        <v>52</v>
      </c>
      <c r="D27" s="11" t="s">
        <v>54</v>
      </c>
      <c r="E27" s="11" t="s">
        <v>45</v>
      </c>
      <c r="F27" s="12">
        <v>0.28199999999999997</v>
      </c>
      <c r="G27" s="13"/>
      <c r="H27" s="9"/>
    </row>
    <row r="28" spans="1:8" x14ac:dyDescent="0.25">
      <c r="A28" s="4" t="s">
        <v>43</v>
      </c>
      <c r="B28" s="5" t="s">
        <v>55</v>
      </c>
      <c r="C28" s="4" t="s">
        <v>55</v>
      </c>
      <c r="D28" s="6" t="s">
        <v>56</v>
      </c>
      <c r="E28" s="6" t="s">
        <v>45</v>
      </c>
      <c r="F28" s="7">
        <v>4.0000000000000001E-3</v>
      </c>
      <c r="G28" s="8">
        <f>AVERAGE(F28:F39)</f>
        <v>0.26374999999999998</v>
      </c>
      <c r="H28" s="4" t="s">
        <v>50</v>
      </c>
    </row>
    <row r="29" spans="1:8" x14ac:dyDescent="0.25">
      <c r="A29" s="14" t="s">
        <v>43</v>
      </c>
      <c r="B29" s="15" t="s">
        <v>55</v>
      </c>
      <c r="C29" s="14" t="s">
        <v>55</v>
      </c>
      <c r="D29" s="16" t="s">
        <v>57</v>
      </c>
      <c r="E29" s="16" t="s">
        <v>45</v>
      </c>
      <c r="F29" s="17">
        <v>5.1999999999999998E-2</v>
      </c>
      <c r="G29" s="18"/>
      <c r="H29" s="14" t="s">
        <v>50</v>
      </c>
    </row>
    <row r="30" spans="1:8" x14ac:dyDescent="0.25">
      <c r="A30" s="14" t="s">
        <v>43</v>
      </c>
      <c r="B30" s="15" t="s">
        <v>55</v>
      </c>
      <c r="C30" s="14" t="s">
        <v>55</v>
      </c>
      <c r="D30" s="16" t="s">
        <v>58</v>
      </c>
      <c r="E30" s="16" t="s">
        <v>45</v>
      </c>
      <c r="F30" s="17">
        <v>0.14899999999999999</v>
      </c>
      <c r="G30" s="18"/>
      <c r="H30" s="14" t="s">
        <v>50</v>
      </c>
    </row>
    <row r="31" spans="1:8" x14ac:dyDescent="0.25">
      <c r="A31" s="14" t="s">
        <v>43</v>
      </c>
      <c r="B31" s="15" t="s">
        <v>55</v>
      </c>
      <c r="C31" s="14" t="s">
        <v>55</v>
      </c>
      <c r="D31" s="16" t="s">
        <v>59</v>
      </c>
      <c r="E31" s="16" t="s">
        <v>45</v>
      </c>
      <c r="F31" s="17">
        <v>0</v>
      </c>
      <c r="G31" s="18"/>
      <c r="H31" s="14" t="s">
        <v>50</v>
      </c>
    </row>
    <row r="32" spans="1:8" x14ac:dyDescent="0.25">
      <c r="A32" s="14" t="s">
        <v>43</v>
      </c>
      <c r="B32" s="15" t="s">
        <v>55</v>
      </c>
      <c r="C32" s="14" t="s">
        <v>55</v>
      </c>
      <c r="D32" s="16" t="s">
        <v>60</v>
      </c>
      <c r="E32" s="16" t="s">
        <v>45</v>
      </c>
      <c r="F32" s="17">
        <v>0.104</v>
      </c>
      <c r="G32" s="18"/>
      <c r="H32" s="14" t="s">
        <v>50</v>
      </c>
    </row>
    <row r="33" spans="1:8" x14ac:dyDescent="0.25">
      <c r="A33" s="14" t="s">
        <v>43</v>
      </c>
      <c r="B33" s="15" t="s">
        <v>55</v>
      </c>
      <c r="C33" s="14" t="s">
        <v>55</v>
      </c>
      <c r="D33" s="16" t="s">
        <v>61</v>
      </c>
      <c r="E33" s="16" t="s">
        <v>45</v>
      </c>
      <c r="F33" s="17">
        <v>0.108</v>
      </c>
      <c r="G33" s="18"/>
      <c r="H33" s="14" t="s">
        <v>50</v>
      </c>
    </row>
    <row r="34" spans="1:8" x14ac:dyDescent="0.25">
      <c r="A34" s="14" t="s">
        <v>43</v>
      </c>
      <c r="B34" s="15" t="s">
        <v>55</v>
      </c>
      <c r="C34" s="14" t="s">
        <v>55</v>
      </c>
      <c r="D34" s="16" t="s">
        <v>62</v>
      </c>
      <c r="E34" s="16" t="s">
        <v>45</v>
      </c>
      <c r="F34" s="17">
        <v>0.15</v>
      </c>
      <c r="G34" s="18"/>
      <c r="H34" s="14" t="s">
        <v>50</v>
      </c>
    </row>
    <row r="35" spans="1:8" x14ac:dyDescent="0.25">
      <c r="A35" s="14" t="s">
        <v>43</v>
      </c>
      <c r="B35" s="15" t="s">
        <v>55</v>
      </c>
      <c r="C35" s="14" t="s">
        <v>55</v>
      </c>
      <c r="D35" s="16" t="s">
        <v>63</v>
      </c>
      <c r="E35" s="16" t="s">
        <v>45</v>
      </c>
      <c r="F35" s="17">
        <v>0.23699999999999999</v>
      </c>
      <c r="G35" s="18"/>
      <c r="H35" s="14" t="s">
        <v>50</v>
      </c>
    </row>
    <row r="36" spans="1:8" x14ac:dyDescent="0.25">
      <c r="A36" s="14" t="s">
        <v>43</v>
      </c>
      <c r="B36" s="15" t="s">
        <v>55</v>
      </c>
      <c r="C36" s="14" t="s">
        <v>55</v>
      </c>
      <c r="D36" s="16" t="s">
        <v>64</v>
      </c>
      <c r="E36" s="16" t="s">
        <v>45</v>
      </c>
      <c r="F36" s="17">
        <v>0.56899999999999995</v>
      </c>
      <c r="G36" s="18"/>
      <c r="H36" s="14" t="s">
        <v>50</v>
      </c>
    </row>
    <row r="37" spans="1:8" x14ac:dyDescent="0.25">
      <c r="A37" s="14" t="s">
        <v>43</v>
      </c>
      <c r="B37" s="15" t="s">
        <v>55</v>
      </c>
      <c r="C37" s="14" t="s">
        <v>55</v>
      </c>
      <c r="D37" s="16" t="s">
        <v>65</v>
      </c>
      <c r="E37" s="16" t="s">
        <v>45</v>
      </c>
      <c r="F37" s="17">
        <v>0.56999999999999995</v>
      </c>
      <c r="G37" s="18"/>
      <c r="H37" s="14" t="s">
        <v>50</v>
      </c>
    </row>
    <row r="38" spans="1:8" x14ac:dyDescent="0.25">
      <c r="A38" s="14" t="s">
        <v>43</v>
      </c>
      <c r="B38" s="15" t="s">
        <v>55</v>
      </c>
      <c r="C38" s="14" t="s">
        <v>55</v>
      </c>
      <c r="D38" s="16" t="s">
        <v>66</v>
      </c>
      <c r="E38" s="16" t="s">
        <v>45</v>
      </c>
      <c r="F38" s="17">
        <v>0.59099999999999997</v>
      </c>
      <c r="G38" s="18"/>
      <c r="H38" s="14" t="s">
        <v>50</v>
      </c>
    </row>
    <row r="39" spans="1:8" x14ac:dyDescent="0.25">
      <c r="A39" s="14" t="s">
        <v>43</v>
      </c>
      <c r="B39" s="15" t="s">
        <v>55</v>
      </c>
      <c r="C39" s="14" t="s">
        <v>55</v>
      </c>
      <c r="D39" s="16" t="s">
        <v>67</v>
      </c>
      <c r="E39" s="16" t="s">
        <v>45</v>
      </c>
      <c r="F39" s="17">
        <v>0.63100000000000001</v>
      </c>
      <c r="G39" s="18"/>
      <c r="H39" s="14" t="s">
        <v>50</v>
      </c>
    </row>
    <row r="40" spans="1:8" x14ac:dyDescent="0.25">
      <c r="A40" s="4" t="s">
        <v>43</v>
      </c>
      <c r="B40" s="5" t="s">
        <v>68</v>
      </c>
      <c r="C40" s="4" t="s">
        <v>68</v>
      </c>
      <c r="D40" s="6" t="s">
        <v>64</v>
      </c>
      <c r="E40" s="6" t="s">
        <v>45</v>
      </c>
      <c r="F40" s="7">
        <v>0.56899999999999995</v>
      </c>
      <c r="G40" s="29">
        <f>AVERAGE(F40:F48)</f>
        <v>0.52833333333333332</v>
      </c>
      <c r="H40" s="4" t="s">
        <v>50</v>
      </c>
    </row>
    <row r="41" spans="1:8" x14ac:dyDescent="0.25">
      <c r="A41" s="14" t="s">
        <v>43</v>
      </c>
      <c r="B41" s="15" t="s">
        <v>68</v>
      </c>
      <c r="C41" s="14" t="s">
        <v>68</v>
      </c>
      <c r="D41" s="16" t="s">
        <v>65</v>
      </c>
      <c r="E41" s="16" t="s">
        <v>45</v>
      </c>
      <c r="F41" s="17">
        <v>0.56999999999999995</v>
      </c>
      <c r="G41" s="18"/>
      <c r="H41" s="14" t="s">
        <v>50</v>
      </c>
    </row>
    <row r="42" spans="1:8" x14ac:dyDescent="0.25">
      <c r="A42" s="14" t="s">
        <v>43</v>
      </c>
      <c r="B42" s="15" t="s">
        <v>68</v>
      </c>
      <c r="C42" s="14" t="s">
        <v>68</v>
      </c>
      <c r="D42" s="16" t="s">
        <v>66</v>
      </c>
      <c r="E42" s="16" t="s">
        <v>45</v>
      </c>
      <c r="F42" s="17">
        <v>0.59099999999999997</v>
      </c>
      <c r="G42" s="18"/>
      <c r="H42" s="14" t="s">
        <v>50</v>
      </c>
    </row>
    <row r="43" spans="1:8" x14ac:dyDescent="0.25">
      <c r="A43" s="14" t="s">
        <v>43</v>
      </c>
      <c r="B43" s="15" t="s">
        <v>68</v>
      </c>
      <c r="C43" s="14" t="s">
        <v>68</v>
      </c>
      <c r="D43" s="16" t="s">
        <v>67</v>
      </c>
      <c r="E43" s="16" t="s">
        <v>45</v>
      </c>
      <c r="F43" s="17">
        <v>0.63100000000000001</v>
      </c>
      <c r="G43" s="18"/>
      <c r="H43" s="14" t="s">
        <v>50</v>
      </c>
    </row>
    <row r="44" spans="1:8" x14ac:dyDescent="0.25">
      <c r="A44" s="14" t="s">
        <v>43</v>
      </c>
      <c r="B44" s="15" t="s">
        <v>68</v>
      </c>
      <c r="C44" s="14" t="s">
        <v>68</v>
      </c>
      <c r="D44" s="16" t="s">
        <v>69</v>
      </c>
      <c r="E44" s="16" t="s">
        <v>45</v>
      </c>
      <c r="F44" s="17">
        <v>2.4E-2</v>
      </c>
      <c r="G44" s="18"/>
      <c r="H44" s="14" t="s">
        <v>50</v>
      </c>
    </row>
    <row r="45" spans="1:8" x14ac:dyDescent="0.25">
      <c r="A45" s="14" t="s">
        <v>43</v>
      </c>
      <c r="B45" s="15" t="s">
        <v>68</v>
      </c>
      <c r="C45" s="14" t="s">
        <v>68</v>
      </c>
      <c r="D45" s="16" t="s">
        <v>70</v>
      </c>
      <c r="E45" s="16" t="s">
        <v>45</v>
      </c>
      <c r="F45" s="17">
        <v>0.57099999999999995</v>
      </c>
      <c r="G45" s="18"/>
      <c r="H45" s="14" t="s">
        <v>50</v>
      </c>
    </row>
    <row r="46" spans="1:8" x14ac:dyDescent="0.25">
      <c r="A46" s="14" t="s">
        <v>43</v>
      </c>
      <c r="B46" s="15" t="s">
        <v>68</v>
      </c>
      <c r="C46" s="14" t="s">
        <v>68</v>
      </c>
      <c r="D46" s="16" t="s">
        <v>71</v>
      </c>
      <c r="E46" s="16" t="s">
        <v>45</v>
      </c>
      <c r="F46" s="17">
        <v>0.57299999999999995</v>
      </c>
      <c r="G46" s="18"/>
      <c r="H46" s="14" t="s">
        <v>50</v>
      </c>
    </row>
    <row r="47" spans="1:8" x14ac:dyDescent="0.25">
      <c r="A47" s="14" t="s">
        <v>43</v>
      </c>
      <c r="B47" s="15" t="s">
        <v>68</v>
      </c>
      <c r="C47" s="14" t="s">
        <v>68</v>
      </c>
      <c r="D47" s="16" t="s">
        <v>72</v>
      </c>
      <c r="E47" s="16" t="s">
        <v>45</v>
      </c>
      <c r="F47" s="17">
        <v>0.59299999999999997</v>
      </c>
      <c r="G47" s="18"/>
      <c r="H47" s="14" t="s">
        <v>50</v>
      </c>
    </row>
    <row r="48" spans="1:8" x14ac:dyDescent="0.25">
      <c r="A48" s="9" t="s">
        <v>43</v>
      </c>
      <c r="B48" s="10" t="s">
        <v>68</v>
      </c>
      <c r="C48" s="9" t="s">
        <v>68</v>
      </c>
      <c r="D48" s="11" t="s">
        <v>73</v>
      </c>
      <c r="E48" s="11" t="s">
        <v>45</v>
      </c>
      <c r="F48" s="12">
        <v>0.63300000000000001</v>
      </c>
      <c r="G48" s="13"/>
      <c r="H48" s="9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</dc:creator>
  <cp:lastModifiedBy>Micaela</cp:lastModifiedBy>
  <dcterms:created xsi:type="dcterms:W3CDTF">2025-10-22T13:29:18Z</dcterms:created>
  <dcterms:modified xsi:type="dcterms:W3CDTF">2025-11-19T15:43:02Z</dcterms:modified>
</cp:coreProperties>
</file>