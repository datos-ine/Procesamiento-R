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INE\INVESTIGACIÓN\DIABETES\Carga de enfermedad\Pruebas_R\Bases de datos\"/>
    </mc:Choice>
  </mc:AlternateContent>
  <bookViews>
    <workbookView xWindow="0" yWindow="0" windowWidth="20490" windowHeight="70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" i="1" l="1"/>
  <c r="G44" i="1"/>
  <c r="G42" i="1"/>
  <c r="G36" i="1"/>
  <c r="G14" i="1"/>
  <c r="G4" i="1"/>
  <c r="G2" i="1"/>
  <c r="G38" i="1" l="1"/>
  <c r="G41" i="1" l="1"/>
  <c r="G40" i="1" l="1"/>
  <c r="G39" i="1"/>
  <c r="G11" i="1"/>
</calcChain>
</file>

<file path=xl/sharedStrings.xml><?xml version="1.0" encoding="utf-8"?>
<sst xmlns="http://schemas.openxmlformats.org/spreadsheetml/2006/main" count="397" uniqueCount="102">
  <si>
    <t>tipo_complicación crónica</t>
  </si>
  <si>
    <t>complicación crónica_Qualidiab</t>
  </si>
  <si>
    <t>descripción</t>
  </si>
  <si>
    <t>secuela_GBD</t>
  </si>
  <si>
    <t>específico_DM?</t>
  </si>
  <si>
    <t>DW_secuela</t>
  </si>
  <si>
    <t>DW_final (único_DW o promedio_DW)</t>
  </si>
  <si>
    <t>comentarios_DW_GBD</t>
  </si>
  <si>
    <t>macrovascular</t>
  </si>
  <si>
    <t>IAM</t>
  </si>
  <si>
    <t>Infarto agudo de miocardo</t>
  </si>
  <si>
    <t>Acute myocardial infarction first 2 days</t>
  </si>
  <si>
    <t>no</t>
  </si>
  <si>
    <t>Mismos niveles para cualquier cardiopatía general</t>
  </si>
  <si>
    <t>Acute myocardial infarction 3 to 28 days</t>
  </si>
  <si>
    <t>IC</t>
  </si>
  <si>
    <t>Insuficiencia cardíaca</t>
  </si>
  <si>
    <t>Mild heart failure due to other cardiovascular diseases</t>
  </si>
  <si>
    <t>Moderate heart failure due to other cardiovascular diseases</t>
  </si>
  <si>
    <t>Severe heart failure due to other cardiovascular diseases</t>
  </si>
  <si>
    <t>Controlled, medically managed heart failure due to other cardiovascular disease</t>
  </si>
  <si>
    <t>HVI</t>
  </si>
  <si>
    <t>Hipertrofia ventricular izquierda</t>
  </si>
  <si>
    <t>No registrado</t>
  </si>
  <si>
    <t/>
  </si>
  <si>
    <t>Stent</t>
  </si>
  <si>
    <t>Colocación de stent</t>
  </si>
  <si>
    <t>CRM</t>
  </si>
  <si>
    <t>Claudicación miembros inferiores</t>
  </si>
  <si>
    <t>Claudicación de miembros inferiores</t>
  </si>
  <si>
    <t>Symptomatic claudication due to peripheral arterial disease</t>
  </si>
  <si>
    <t>Revascularización</t>
  </si>
  <si>
    <t>Hipotensión ortostática</t>
  </si>
  <si>
    <t>ACV</t>
  </si>
  <si>
    <t>Accidente cerebrovascular</t>
  </si>
  <si>
    <t>Acute ischemic stroke severity level 1</t>
  </si>
  <si>
    <t>Mismos niveles para ACV agudo o crónico</t>
  </si>
  <si>
    <t>AIT</t>
  </si>
  <si>
    <t>Accidente isquémico transitorio</t>
  </si>
  <si>
    <t>microvascular</t>
  </si>
  <si>
    <t>Retinopatía no proliferativa</t>
  </si>
  <si>
    <t>sí</t>
  </si>
  <si>
    <t>Retinopatía proliferativa</t>
  </si>
  <si>
    <t>Ceguera</t>
  </si>
  <si>
    <t>Neuropatía periférica</t>
  </si>
  <si>
    <t xml:space="preserve">Diabetic neuropathy due to diabetes mellitus type 2, without diabetic foot or amputation </t>
  </si>
  <si>
    <t>Mismo valor para DM1 y DM2</t>
  </si>
  <si>
    <t>Disfunción eréctil</t>
  </si>
  <si>
    <t>Amputación</t>
  </si>
  <si>
    <t>Diabetic neuropathy and amputation with treatment due to diabetes mellitus type 2</t>
  </si>
  <si>
    <t>Diabetic neuropathy and amputation without treatment due to diabetes mellitus type 2</t>
  </si>
  <si>
    <t>Nefropatía</t>
  </si>
  <si>
    <t>Diálisis / Transplante</t>
  </si>
  <si>
    <t>End-stage renal disease after transplant due to type 2 diabetes mellitus</t>
  </si>
  <si>
    <t>Moderate vision impairment due to diabetes mellitus type 2 retinopathy</t>
  </si>
  <si>
    <t>Severe vision impairment due to diabetes mellitus type 2 retinopathy</t>
  </si>
  <si>
    <t>Blindness due to diabetes mellitus type 2 retinopathy</t>
  </si>
  <si>
    <t>Revascularización cardíaca</t>
  </si>
  <si>
    <t>Revascularización de miembros inferiores</t>
  </si>
  <si>
    <t>Se asume valor de neuropatía periférica</t>
  </si>
  <si>
    <t>Se usa valor de DW severo</t>
  </si>
  <si>
    <t>Se usa valor promedio de DW</t>
  </si>
  <si>
    <t>End-stage renal disease on dialysis due to type 2 diabetes mellitus, without anemia</t>
  </si>
  <si>
    <t>End-stage renal disease on dialysis due to type 2 diabetes mellitus, with mild anemia</t>
  </si>
  <si>
    <t>End-stage renal disease on dialysis due to type 2 diabetes mellitus, with moderate anemia</t>
  </si>
  <si>
    <t>End-stage renal disease on dialysis due to type 2 diabetes mellitus, with severe anemia</t>
  </si>
  <si>
    <t>Stage 3 chronic kidney disease due to type 2 diabetes mellitus, with mild anemia</t>
  </si>
  <si>
    <t>Stage 3 chronic kidney disease due to type 2 diabetes mellitus, with mdoerate anemia</t>
  </si>
  <si>
    <t>Stage 3 chronic kidney disease due to type 2 diabetes mellitus, with severe anemia</t>
  </si>
  <si>
    <t>Stage 3 chronic kidney disease due to type 2 diabetes mellitus, without anemia</t>
  </si>
  <si>
    <t>Stage 4 chronic kidney disease untreated due to type 2 diabetes mellitus, without anemia</t>
  </si>
  <si>
    <t>Stage 4 chronic kidney disease untreated due to type 2 diabetes mellitus, with mild anemia</t>
  </si>
  <si>
    <t>Stage 4 chronic kidney disease untreated due to type 2 diabetes mellitus, with mdoerate anemia</t>
  </si>
  <si>
    <t>Stage 4 chronic kidney disease untreated due to type 2 diabetes mellitus, with severe anemia</t>
  </si>
  <si>
    <t>Stage 5 chronic kidney disease untreated due to type 2 diabetes mellitus, without anemia</t>
  </si>
  <si>
    <t>Stage 5 chronic kidney disease untreated due to type 2 diabetes mellitus, with mild anemia</t>
  </si>
  <si>
    <t>Stage 5 chronic kidney disease untreated due to type 2 diabetes mellitus, with moderate anemia</t>
  </si>
  <si>
    <t>Stage 5 chronic kidney disease untreated due to type 2 diabetes mellitus, with severe anemia</t>
  </si>
  <si>
    <t>Stage 5 chronic kidney disease untreated due to type 2 diabetes mellitus, with asymptomatic heart failure</t>
  </si>
  <si>
    <t>Stage 5 chronic kidney disease untreated due to type 2 diabetes mellitus, with mild heart failure</t>
  </si>
  <si>
    <t>Stage 5 chronic kidney disease untreated due to type 2 diabetes mellitus, with moderate heart failure</t>
  </si>
  <si>
    <t>Stage 5 chronic kidney disease untreated due to type 2 diabetes mellitus, with severe heart failure</t>
  </si>
  <si>
    <t>Acute ischemic stroke severity level 2, without heart failure</t>
  </si>
  <si>
    <t>Acute ischemic stroke severity level 2, with asymptomatic heart failure</t>
  </si>
  <si>
    <t>Acute ischemic stroke severity level 2, with mild heart failure</t>
  </si>
  <si>
    <t>Acute ischemic stroke severity level 2, with moderate heart failure</t>
  </si>
  <si>
    <t>Acute ischemic stroke severity level 2, with severe heart failure</t>
  </si>
  <si>
    <t>Acute ischemic stroke severity level 3, without heart failure</t>
  </si>
  <si>
    <t>Acute ischemic stroke severity level 3, with asymptomatic heart failure</t>
  </si>
  <si>
    <t>Acute ischemic stroke severity level 3, with mild heart failure</t>
  </si>
  <si>
    <t>Acute ischemic stroke severity level 3, with moderate heart failure</t>
  </si>
  <si>
    <t>Acute ischemic stroke severity level 3, with severe heart failure</t>
  </si>
  <si>
    <t>Acute ischemic stroke severity level 4, without heart failure</t>
  </si>
  <si>
    <t>Acute ischemic stroke severity level 4, with asymptomatic heart failure</t>
  </si>
  <si>
    <t>Acute ischemic stroke severity level 4, with mild heart failure</t>
  </si>
  <si>
    <t>Acute ischemic stroke severity level 4, with moderate heart failure</t>
  </si>
  <si>
    <t>Acute ischemic stroke severity level 4, with severe heart failure</t>
  </si>
  <si>
    <t>Acute ischemic stroke severity level 5, without heart failure</t>
  </si>
  <si>
    <t>Acute ischemic stroke severity level 5, with asymptomatic heart failure</t>
  </si>
  <si>
    <t>Acute ischemic stroke severity level 5, with mild heart failure</t>
  </si>
  <si>
    <t>Acute ischemic stroke severity level 5, with moderate heart failure</t>
  </si>
  <si>
    <t>Acute ischemic stroke severity level 5, with severe heart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</si>
</sst>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/>
    <xf numFmtId="0" fontId="0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3" borderId="3" xfId="0" applyFont="1" applyFill="1" applyBorder="1" applyAlignment="1"/>
    <xf numFmtId="0" fontId="0" fillId="0" borderId="3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/>
    <xf numFmtId="0" fontId="1" fillId="0" borderId="0" xfId="0" applyFont="1" applyFill="1" applyAlignment="1">
      <alignment vertical="center"/>
    </xf>
    <xf numFmtId="0" fontId="0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zoomScale="70" zoomScaleNormal="70" workbookViewId="0">
      <pane ySplit="1" topLeftCell="A45" activePane="bottomLeft" state="frozen"/>
      <selection pane="bottomLeft" activeCell="F60" sqref="F60:F72"/>
    </sheetView>
  </sheetViews>
  <sheetFormatPr baseColWidth="10" defaultRowHeight="15" x14ac:dyDescent="0.25"/>
  <cols>
    <col min="1" max="1" width="24.140625" style="3" bestFit="1" customWidth="1"/>
    <col min="2" max="2" width="31.140625" style="28" bestFit="1" customWidth="1"/>
    <col min="3" max="3" width="44.28515625" style="3" bestFit="1" customWidth="1"/>
    <col min="4" max="4" width="73.5703125" style="3" customWidth="1"/>
    <col min="5" max="5" width="15.28515625" style="3" bestFit="1" customWidth="1"/>
    <col min="6" max="6" width="12.28515625" style="3" bestFit="1" customWidth="1"/>
    <col min="7" max="7" width="23.28515625" style="3" customWidth="1"/>
    <col min="8" max="8" width="23" style="3" customWidth="1"/>
    <col min="9" max="16384" width="11.42578125" style="3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5">
      <c r="A2" s="4" t="s">
        <v>8</v>
      </c>
      <c r="B2" s="5" t="s">
        <v>9</v>
      </c>
      <c r="C2" s="4" t="s">
        <v>10</v>
      </c>
      <c r="D2" s="6" t="s">
        <v>11</v>
      </c>
      <c r="E2" s="6" t="s">
        <v>12</v>
      </c>
      <c r="F2" s="7">
        <v>0.4322702155</v>
      </c>
      <c r="G2" s="8">
        <f>AVERAGE(F2:F3)</f>
        <v>0.25318521504999997</v>
      </c>
      <c r="H2" s="4" t="s">
        <v>13</v>
      </c>
    </row>
    <row r="3" spans="1:8" x14ac:dyDescent="0.25">
      <c r="A3" s="9" t="s">
        <v>8</v>
      </c>
      <c r="B3" s="10" t="s">
        <v>9</v>
      </c>
      <c r="C3" s="9" t="s">
        <v>10</v>
      </c>
      <c r="D3" s="11" t="s">
        <v>14</v>
      </c>
      <c r="E3" s="11" t="s">
        <v>12</v>
      </c>
      <c r="F3" s="12">
        <v>7.4100214599999895E-2</v>
      </c>
      <c r="G3" s="13"/>
      <c r="H3" s="9"/>
    </row>
    <row r="4" spans="1:8" x14ac:dyDescent="0.25">
      <c r="A4" s="4" t="s">
        <v>8</v>
      </c>
      <c r="B4" s="5" t="s">
        <v>15</v>
      </c>
      <c r="C4" s="4" t="s">
        <v>16</v>
      </c>
      <c r="D4" s="6" t="s">
        <v>17</v>
      </c>
      <c r="E4" s="6" t="s">
        <v>12</v>
      </c>
      <c r="F4" s="7">
        <v>4.14518940999999E-2</v>
      </c>
      <c r="G4" s="8">
        <f>AVERAGE(F4:F7)</f>
        <v>8.529585942499994E-2</v>
      </c>
      <c r="H4" s="4"/>
    </row>
    <row r="5" spans="1:8" x14ac:dyDescent="0.25">
      <c r="A5" s="14" t="s">
        <v>8</v>
      </c>
      <c r="B5" s="15" t="s">
        <v>15</v>
      </c>
      <c r="C5" s="14" t="s">
        <v>16</v>
      </c>
      <c r="D5" s="16" t="s">
        <v>18</v>
      </c>
      <c r="E5" s="16" t="s">
        <v>12</v>
      </c>
      <c r="F5" s="17">
        <v>7.1653432699999894E-2</v>
      </c>
      <c r="G5" s="18"/>
      <c r="H5" s="14"/>
    </row>
    <row r="6" spans="1:8" x14ac:dyDescent="0.25">
      <c r="A6" s="14" t="s">
        <v>8</v>
      </c>
      <c r="B6" s="15" t="s">
        <v>15</v>
      </c>
      <c r="C6" s="14" t="s">
        <v>16</v>
      </c>
      <c r="D6" s="16" t="s">
        <v>19</v>
      </c>
      <c r="E6" s="16" t="s">
        <v>12</v>
      </c>
      <c r="F6" s="17">
        <v>0.17906669619999999</v>
      </c>
      <c r="G6" s="18"/>
      <c r="H6" s="14"/>
    </row>
    <row r="7" spans="1:8" x14ac:dyDescent="0.25">
      <c r="A7" s="9" t="s">
        <v>8</v>
      </c>
      <c r="B7" s="10" t="s">
        <v>15</v>
      </c>
      <c r="C7" s="9" t="s">
        <v>16</v>
      </c>
      <c r="D7" s="11" t="s">
        <v>20</v>
      </c>
      <c r="E7" s="11" t="s">
        <v>12</v>
      </c>
      <c r="F7" s="12">
        <v>4.9011414699999999E-2</v>
      </c>
      <c r="G7" s="13"/>
      <c r="H7" s="9"/>
    </row>
    <row r="8" spans="1:8" x14ac:dyDescent="0.25">
      <c r="A8" s="19" t="s">
        <v>8</v>
      </c>
      <c r="B8" s="20" t="s">
        <v>21</v>
      </c>
      <c r="C8" s="19" t="s">
        <v>22</v>
      </c>
      <c r="D8" s="21" t="s">
        <v>23</v>
      </c>
      <c r="E8" s="21"/>
      <c r="F8" s="21" t="s">
        <v>24</v>
      </c>
      <c r="G8" s="22"/>
      <c r="H8" s="19"/>
    </row>
    <row r="9" spans="1:8" x14ac:dyDescent="0.25">
      <c r="A9" s="19" t="s">
        <v>8</v>
      </c>
      <c r="B9" s="20" t="s">
        <v>25</v>
      </c>
      <c r="C9" s="19" t="s">
        <v>26</v>
      </c>
      <c r="D9" s="21" t="s">
        <v>23</v>
      </c>
      <c r="E9" s="21"/>
      <c r="F9" s="21" t="s">
        <v>24</v>
      </c>
      <c r="G9" s="22"/>
      <c r="H9" s="19"/>
    </row>
    <row r="10" spans="1:8" x14ac:dyDescent="0.25">
      <c r="A10" s="19" t="s">
        <v>8</v>
      </c>
      <c r="B10" s="20" t="s">
        <v>27</v>
      </c>
      <c r="C10" s="19" t="s">
        <v>57</v>
      </c>
      <c r="D10" s="21" t="s">
        <v>23</v>
      </c>
      <c r="E10" s="21"/>
      <c r="F10" s="21" t="s">
        <v>24</v>
      </c>
      <c r="G10" s="22"/>
      <c r="H10" s="19"/>
    </row>
    <row r="11" spans="1:8" x14ac:dyDescent="0.25">
      <c r="A11" s="23" t="s">
        <v>8</v>
      </c>
      <c r="B11" s="24" t="s">
        <v>28</v>
      </c>
      <c r="C11" s="23" t="s">
        <v>29</v>
      </c>
      <c r="D11" s="25" t="s">
        <v>30</v>
      </c>
      <c r="E11" s="25" t="s">
        <v>12</v>
      </c>
      <c r="F11" s="26">
        <v>1.41852508E-2</v>
      </c>
      <c r="G11" s="27">
        <f>F11</f>
        <v>1.41852508E-2</v>
      </c>
      <c r="H11" s="23"/>
    </row>
    <row r="12" spans="1:8" x14ac:dyDescent="0.25">
      <c r="A12" s="19" t="s">
        <v>8</v>
      </c>
      <c r="B12" s="20" t="s">
        <v>31</v>
      </c>
      <c r="C12" s="19" t="s">
        <v>58</v>
      </c>
      <c r="D12" s="21" t="s">
        <v>23</v>
      </c>
      <c r="E12" s="21"/>
      <c r="F12" s="21" t="s">
        <v>24</v>
      </c>
      <c r="G12" s="22"/>
      <c r="H12" s="19"/>
    </row>
    <row r="13" spans="1:8" x14ac:dyDescent="0.25">
      <c r="A13" s="19" t="s">
        <v>8</v>
      </c>
      <c r="B13" s="20" t="s">
        <v>32</v>
      </c>
      <c r="C13" s="19" t="s">
        <v>32</v>
      </c>
      <c r="D13" s="21" t="s">
        <v>23</v>
      </c>
      <c r="E13" s="21"/>
      <c r="F13" s="21" t="s">
        <v>24</v>
      </c>
      <c r="G13" s="22"/>
      <c r="H13" s="19"/>
    </row>
    <row r="14" spans="1:8" x14ac:dyDescent="0.25">
      <c r="A14" s="4" t="s">
        <v>8</v>
      </c>
      <c r="B14" s="5" t="s">
        <v>33</v>
      </c>
      <c r="C14" s="4" t="s">
        <v>34</v>
      </c>
      <c r="D14" s="6" t="s">
        <v>35</v>
      </c>
      <c r="E14" s="6" t="s">
        <v>12</v>
      </c>
      <c r="F14" s="7">
        <v>1.9010281399999999E-2</v>
      </c>
      <c r="G14" s="8">
        <f>AVERAGE(F14:F34)</f>
        <v>0.40395263097524053</v>
      </c>
      <c r="H14" s="4" t="s">
        <v>36</v>
      </c>
    </row>
    <row r="15" spans="1:8" x14ac:dyDescent="0.25">
      <c r="A15" s="14" t="s">
        <v>8</v>
      </c>
      <c r="B15" s="15" t="s">
        <v>33</v>
      </c>
      <c r="C15" s="14" t="s">
        <v>34</v>
      </c>
      <c r="D15" s="16" t="s">
        <v>82</v>
      </c>
      <c r="E15" s="16" t="s">
        <v>12</v>
      </c>
      <c r="F15" s="17">
        <v>7.0059834899999895E-2</v>
      </c>
      <c r="G15" s="18"/>
      <c r="H15" s="14"/>
    </row>
    <row r="16" spans="1:8" x14ac:dyDescent="0.25">
      <c r="A16" s="14" t="s">
        <v>8</v>
      </c>
      <c r="B16" s="15" t="s">
        <v>33</v>
      </c>
      <c r="C16" s="14" t="s">
        <v>34</v>
      </c>
      <c r="D16" s="16" t="s">
        <v>83</v>
      </c>
      <c r="E16" s="16" t="s">
        <v>12</v>
      </c>
      <c r="F16" s="17">
        <v>0.11550699671223399</v>
      </c>
      <c r="G16" s="18"/>
      <c r="H16" s="14"/>
    </row>
    <row r="17" spans="1:8" x14ac:dyDescent="0.25">
      <c r="A17" s="14" t="s">
        <v>8</v>
      </c>
      <c r="B17" s="15" t="s">
        <v>33</v>
      </c>
      <c r="C17" s="14" t="s">
        <v>34</v>
      </c>
      <c r="D17" s="16" t="s">
        <v>84</v>
      </c>
      <c r="E17" s="16" t="s">
        <v>12</v>
      </c>
      <c r="F17" s="17">
        <v>0.10849538907589</v>
      </c>
      <c r="G17" s="18"/>
      <c r="H17" s="14"/>
    </row>
    <row r="18" spans="1:8" x14ac:dyDescent="0.25">
      <c r="A18" s="14" t="s">
        <v>8</v>
      </c>
      <c r="B18" s="15" t="s">
        <v>33</v>
      </c>
      <c r="C18" s="14" t="s">
        <v>34</v>
      </c>
      <c r="D18" s="16" t="s">
        <v>85</v>
      </c>
      <c r="E18" s="16" t="s">
        <v>12</v>
      </c>
      <c r="F18" s="17">
        <v>0.13651289717948001</v>
      </c>
      <c r="G18" s="18"/>
      <c r="H18" s="14"/>
    </row>
    <row r="19" spans="1:8" x14ac:dyDescent="0.25">
      <c r="A19" s="14" t="s">
        <v>8</v>
      </c>
      <c r="B19" s="15" t="s">
        <v>33</v>
      </c>
      <c r="C19" s="14" t="s">
        <v>34</v>
      </c>
      <c r="D19" s="16" t="s">
        <v>86</v>
      </c>
      <c r="E19" s="16" t="s">
        <v>12</v>
      </c>
      <c r="F19" s="17">
        <v>0.236222262269112</v>
      </c>
      <c r="G19" s="18"/>
      <c r="H19" s="14"/>
    </row>
    <row r="20" spans="1:8" x14ac:dyDescent="0.25">
      <c r="A20" s="14" t="s">
        <v>8</v>
      </c>
      <c r="B20" s="15" t="s">
        <v>33</v>
      </c>
      <c r="C20" s="14" t="s">
        <v>34</v>
      </c>
      <c r="D20" s="16" t="s">
        <v>87</v>
      </c>
      <c r="E20" s="16" t="s">
        <v>12</v>
      </c>
      <c r="F20" s="17">
        <v>0.31634430260000002</v>
      </c>
      <c r="G20" s="18"/>
      <c r="H20" s="14"/>
    </row>
    <row r="21" spans="1:8" x14ac:dyDescent="0.25">
      <c r="A21" s="14" t="s">
        <v>8</v>
      </c>
      <c r="B21" s="15" t="s">
        <v>33</v>
      </c>
      <c r="C21" s="14" t="s">
        <v>34</v>
      </c>
      <c r="D21" s="16" t="s">
        <v>88</v>
      </c>
      <c r="E21" s="16" t="s">
        <v>12</v>
      </c>
      <c r="F21" s="17">
        <v>0.34959209832848598</v>
      </c>
      <c r="G21" s="18"/>
      <c r="H21" s="14"/>
    </row>
    <row r="22" spans="1:8" x14ac:dyDescent="0.25">
      <c r="A22" s="14" t="s">
        <v>8</v>
      </c>
      <c r="B22" s="15" t="s">
        <v>33</v>
      </c>
      <c r="C22" s="14" t="s">
        <v>34</v>
      </c>
      <c r="D22" s="16" t="s">
        <v>89</v>
      </c>
      <c r="E22" s="16" t="s">
        <v>12</v>
      </c>
      <c r="F22" s="17">
        <v>0.34449130984930698</v>
      </c>
      <c r="G22" s="18"/>
      <c r="H22" s="14"/>
    </row>
    <row r="23" spans="1:8" x14ac:dyDescent="0.25">
      <c r="A23" s="14" t="s">
        <v>8</v>
      </c>
      <c r="B23" s="15" t="s">
        <v>33</v>
      </c>
      <c r="C23" s="14" t="s">
        <v>34</v>
      </c>
      <c r="D23" s="16" t="s">
        <v>90</v>
      </c>
      <c r="E23" s="16" t="s">
        <v>12</v>
      </c>
      <c r="F23" s="17">
        <v>0.36481637276607598</v>
      </c>
      <c r="G23" s="18"/>
      <c r="H23" s="14"/>
    </row>
    <row r="24" spans="1:8" x14ac:dyDescent="0.25">
      <c r="A24" s="14" t="s">
        <v>8</v>
      </c>
      <c r="B24" s="15" t="s">
        <v>33</v>
      </c>
      <c r="C24" s="14" t="s">
        <v>34</v>
      </c>
      <c r="D24" s="16" t="s">
        <v>91</v>
      </c>
      <c r="E24" s="16" t="s">
        <v>12</v>
      </c>
      <c r="F24" s="17">
        <v>0.43701702717526802</v>
      </c>
      <c r="G24" s="18"/>
      <c r="H24" s="14"/>
    </row>
    <row r="25" spans="1:8" x14ac:dyDescent="0.25">
      <c r="A25" s="14" t="s">
        <v>8</v>
      </c>
      <c r="B25" s="15" t="s">
        <v>33</v>
      </c>
      <c r="C25" s="14" t="s">
        <v>34</v>
      </c>
      <c r="D25" s="16" t="s">
        <v>92</v>
      </c>
      <c r="E25" s="16" t="s">
        <v>12</v>
      </c>
      <c r="F25" s="17">
        <v>0.55200139250000002</v>
      </c>
      <c r="G25" s="18"/>
      <c r="H25" s="14"/>
    </row>
    <row r="26" spans="1:8" x14ac:dyDescent="0.25">
      <c r="A26" s="14" t="s">
        <v>8</v>
      </c>
      <c r="B26" s="15" t="s">
        <v>33</v>
      </c>
      <c r="C26" s="14" t="s">
        <v>34</v>
      </c>
      <c r="D26" s="16" t="s">
        <v>93</v>
      </c>
      <c r="E26" s="16" t="s">
        <v>12</v>
      </c>
      <c r="F26" s="17">
        <v>0.57375326559862805</v>
      </c>
      <c r="G26" s="18"/>
      <c r="H26" s="14"/>
    </row>
    <row r="27" spans="1:8" x14ac:dyDescent="0.25">
      <c r="A27" s="14" t="s">
        <v>8</v>
      </c>
      <c r="B27" s="15" t="s">
        <v>33</v>
      </c>
      <c r="C27" s="14" t="s">
        <v>34</v>
      </c>
      <c r="D27" s="16" t="s">
        <v>94</v>
      </c>
      <c r="E27" s="16" t="s">
        <v>12</v>
      </c>
      <c r="F27" s="17">
        <v>0.57045221168801397</v>
      </c>
      <c r="G27" s="18"/>
      <c r="H27" s="14"/>
    </row>
    <row r="28" spans="1:8" x14ac:dyDescent="0.25">
      <c r="A28" s="14" t="s">
        <v>8</v>
      </c>
      <c r="B28" s="15" t="s">
        <v>33</v>
      </c>
      <c r="C28" s="14" t="s">
        <v>34</v>
      </c>
      <c r="D28" s="16" t="s">
        <v>95</v>
      </c>
      <c r="E28" s="16" t="s">
        <v>12</v>
      </c>
      <c r="F28" s="17">
        <v>0.58355582358288305</v>
      </c>
      <c r="G28" s="18"/>
      <c r="H28" s="14"/>
    </row>
    <row r="29" spans="1:8" x14ac:dyDescent="0.25">
      <c r="A29" s="14" t="s">
        <v>8</v>
      </c>
      <c r="B29" s="15" t="s">
        <v>33</v>
      </c>
      <c r="C29" s="14" t="s">
        <v>34</v>
      </c>
      <c r="D29" s="16" t="s">
        <v>96</v>
      </c>
      <c r="E29" s="16" t="s">
        <v>12</v>
      </c>
      <c r="F29" s="17">
        <v>0.62989166068075297</v>
      </c>
      <c r="G29" s="18"/>
      <c r="H29" s="14"/>
    </row>
    <row r="30" spans="1:8" x14ac:dyDescent="0.25">
      <c r="A30" s="14" t="s">
        <v>8</v>
      </c>
      <c r="B30" s="15" t="s">
        <v>33</v>
      </c>
      <c r="C30" s="14" t="s">
        <v>34</v>
      </c>
      <c r="D30" s="16" t="s">
        <v>97</v>
      </c>
      <c r="E30" s="16" t="s">
        <v>12</v>
      </c>
      <c r="F30" s="17">
        <v>0.58754583439999997</v>
      </c>
      <c r="G30" s="18"/>
      <c r="H30" s="14"/>
    </row>
    <row r="31" spans="1:8" x14ac:dyDescent="0.25">
      <c r="A31" s="14" t="s">
        <v>8</v>
      </c>
      <c r="B31" s="15" t="s">
        <v>33</v>
      </c>
      <c r="C31" s="14" t="s">
        <v>34</v>
      </c>
      <c r="D31" s="16" t="s">
        <v>98</v>
      </c>
      <c r="E31" s="16" t="s">
        <v>12</v>
      </c>
      <c r="F31" s="17">
        <v>0.60757001409394795</v>
      </c>
      <c r="G31" s="18"/>
      <c r="H31" s="14"/>
    </row>
    <row r="32" spans="1:8" x14ac:dyDescent="0.25">
      <c r="A32" s="14" t="s">
        <v>8</v>
      </c>
      <c r="B32" s="15" t="s">
        <v>33</v>
      </c>
      <c r="C32" s="14" t="s">
        <v>34</v>
      </c>
      <c r="D32" s="16" t="s">
        <v>99</v>
      </c>
      <c r="E32" s="16" t="s">
        <v>12</v>
      </c>
      <c r="F32" s="17">
        <v>0.604535787675755</v>
      </c>
      <c r="G32" s="18"/>
      <c r="H32" s="14"/>
    </row>
    <row r="33" spans="1:8" x14ac:dyDescent="0.25">
      <c r="A33" s="14" t="s">
        <v>8</v>
      </c>
      <c r="B33" s="15" t="s">
        <v>33</v>
      </c>
      <c r="C33" s="14" t="s">
        <v>34</v>
      </c>
      <c r="D33" s="16" t="s">
        <v>100</v>
      </c>
      <c r="E33" s="16" t="s">
        <v>12</v>
      </c>
      <c r="F33" s="17">
        <v>0.616569518087146</v>
      </c>
      <c r="G33" s="18"/>
      <c r="H33" s="14"/>
    </row>
    <row r="34" spans="1:8" x14ac:dyDescent="0.25">
      <c r="A34" s="9" t="s">
        <v>8</v>
      </c>
      <c r="B34" s="10" t="s">
        <v>33</v>
      </c>
      <c r="C34" s="9" t="s">
        <v>34</v>
      </c>
      <c r="D34" s="11" t="s">
        <v>101</v>
      </c>
      <c r="E34" s="11" t="s">
        <v>12</v>
      </c>
      <c r="F34" s="12">
        <v>0.65906096991707197</v>
      </c>
      <c r="G34" s="18"/>
      <c r="H34" s="9"/>
    </row>
    <row r="35" spans="1:8" x14ac:dyDescent="0.25">
      <c r="A35" s="19" t="s">
        <v>8</v>
      </c>
      <c r="B35" s="20" t="s">
        <v>37</v>
      </c>
      <c r="C35" s="19" t="s">
        <v>38</v>
      </c>
      <c r="D35" s="21" t="s">
        <v>23</v>
      </c>
      <c r="E35" s="21"/>
      <c r="F35" s="21" t="s">
        <v>24</v>
      </c>
      <c r="G35" s="22"/>
      <c r="H35" s="19"/>
    </row>
    <row r="36" spans="1:8" x14ac:dyDescent="0.25">
      <c r="A36" s="4" t="s">
        <v>39</v>
      </c>
      <c r="B36" s="5" t="s">
        <v>40</v>
      </c>
      <c r="C36" s="4" t="s">
        <v>40</v>
      </c>
      <c r="D36" s="6" t="s">
        <v>54</v>
      </c>
      <c r="E36" s="6" t="s">
        <v>41</v>
      </c>
      <c r="F36" s="7">
        <v>3.0842126399999899E-2</v>
      </c>
      <c r="G36" s="8">
        <f>AVERAGE(F36:F37)</f>
        <v>0.10744530709999994</v>
      </c>
      <c r="H36" s="4" t="s">
        <v>61</v>
      </c>
    </row>
    <row r="37" spans="1:8" x14ac:dyDescent="0.25">
      <c r="A37" s="9" t="s">
        <v>39</v>
      </c>
      <c r="B37" s="10" t="s">
        <v>40</v>
      </c>
      <c r="C37" s="9" t="s">
        <v>40</v>
      </c>
      <c r="D37" s="11" t="s">
        <v>55</v>
      </c>
      <c r="E37" s="11" t="s">
        <v>41</v>
      </c>
      <c r="F37" s="12">
        <v>0.18404848779999999</v>
      </c>
      <c r="G37" s="13"/>
      <c r="H37" s="9"/>
    </row>
    <row r="38" spans="1:8" x14ac:dyDescent="0.25">
      <c r="A38" s="4" t="s">
        <v>39</v>
      </c>
      <c r="B38" s="5" t="s">
        <v>42</v>
      </c>
      <c r="C38" s="4" t="s">
        <v>42</v>
      </c>
      <c r="D38" s="6" t="s">
        <v>55</v>
      </c>
      <c r="E38" s="6" t="s">
        <v>41</v>
      </c>
      <c r="F38" s="7">
        <v>0.18404848779999999</v>
      </c>
      <c r="G38" s="8">
        <f>F38</f>
        <v>0.18404848779999999</v>
      </c>
      <c r="H38" s="4" t="s">
        <v>60</v>
      </c>
    </row>
    <row r="39" spans="1:8" x14ac:dyDescent="0.25">
      <c r="A39" s="23" t="s">
        <v>39</v>
      </c>
      <c r="B39" s="24" t="s">
        <v>43</v>
      </c>
      <c r="C39" s="23" t="s">
        <v>43</v>
      </c>
      <c r="D39" s="25" t="s">
        <v>56</v>
      </c>
      <c r="E39" s="25" t="s">
        <v>41</v>
      </c>
      <c r="F39" s="26">
        <v>0.18736458340000001</v>
      </c>
      <c r="G39" s="27">
        <f>F39</f>
        <v>0.18736458340000001</v>
      </c>
      <c r="H39" s="23"/>
    </row>
    <row r="40" spans="1:8" x14ac:dyDescent="0.25">
      <c r="A40" s="23" t="s">
        <v>39</v>
      </c>
      <c r="B40" s="24" t="s">
        <v>44</v>
      </c>
      <c r="C40" s="23" t="s">
        <v>44</v>
      </c>
      <c r="D40" s="25" t="s">
        <v>45</v>
      </c>
      <c r="E40" s="25" t="s">
        <v>41</v>
      </c>
      <c r="F40" s="26">
        <v>0.13318999149999899</v>
      </c>
      <c r="G40" s="27">
        <f>F40</f>
        <v>0.13318999149999899</v>
      </c>
      <c r="H40" s="23" t="s">
        <v>46</v>
      </c>
    </row>
    <row r="41" spans="1:8" x14ac:dyDescent="0.25">
      <c r="A41" s="23" t="s">
        <v>39</v>
      </c>
      <c r="B41" s="24" t="s">
        <v>47</v>
      </c>
      <c r="C41" s="19" t="s">
        <v>47</v>
      </c>
      <c r="D41" s="21" t="s">
        <v>23</v>
      </c>
      <c r="E41" s="21"/>
      <c r="F41" s="21">
        <v>0.13318999149999899</v>
      </c>
      <c r="G41" s="22">
        <f>F40</f>
        <v>0.13318999149999899</v>
      </c>
      <c r="H41" s="19" t="s">
        <v>59</v>
      </c>
    </row>
    <row r="42" spans="1:8" x14ac:dyDescent="0.25">
      <c r="A42" s="4" t="s">
        <v>39</v>
      </c>
      <c r="B42" s="5" t="s">
        <v>48</v>
      </c>
      <c r="C42" s="4" t="s">
        <v>48</v>
      </c>
      <c r="D42" s="6" t="s">
        <v>49</v>
      </c>
      <c r="E42" s="6" t="s">
        <v>41</v>
      </c>
      <c r="F42" s="7">
        <v>0.16681063671504701</v>
      </c>
      <c r="G42" s="8">
        <f>AVERAGE(F42:F43)</f>
        <v>0.22460325500589651</v>
      </c>
      <c r="H42" s="4"/>
    </row>
    <row r="43" spans="1:8" x14ac:dyDescent="0.25">
      <c r="A43" s="9" t="s">
        <v>39</v>
      </c>
      <c r="B43" s="10" t="s">
        <v>48</v>
      </c>
      <c r="C43" s="9" t="s">
        <v>48</v>
      </c>
      <c r="D43" s="11" t="s">
        <v>50</v>
      </c>
      <c r="E43" s="11" t="s">
        <v>41</v>
      </c>
      <c r="F43" s="12">
        <v>0.28239587329674598</v>
      </c>
      <c r="G43" s="13"/>
      <c r="H43" s="9"/>
    </row>
    <row r="44" spans="1:8" x14ac:dyDescent="0.25">
      <c r="A44" s="4" t="s">
        <v>39</v>
      </c>
      <c r="B44" s="5" t="s">
        <v>51</v>
      </c>
      <c r="C44" s="4" t="s">
        <v>51</v>
      </c>
      <c r="D44" s="6" t="s">
        <v>66</v>
      </c>
      <c r="E44" s="6" t="s">
        <v>41</v>
      </c>
      <c r="F44" s="7">
        <v>3.69639789999999E-3</v>
      </c>
      <c r="G44" s="8">
        <f>AVERAGE(F44:F59)</f>
        <v>0.24289327507942721</v>
      </c>
      <c r="H44" s="4" t="s">
        <v>46</v>
      </c>
    </row>
    <row r="45" spans="1:8" x14ac:dyDescent="0.25">
      <c r="A45" s="14" t="s">
        <v>39</v>
      </c>
      <c r="B45" s="15" t="s">
        <v>51</v>
      </c>
      <c r="C45" s="14" t="s">
        <v>51</v>
      </c>
      <c r="D45" s="16" t="s">
        <v>67</v>
      </c>
      <c r="E45" s="16" t="s">
        <v>41</v>
      </c>
      <c r="F45" s="17">
        <v>5.1541961499999997E-2</v>
      </c>
      <c r="G45" s="18"/>
      <c r="H45" s="14" t="s">
        <v>46</v>
      </c>
    </row>
    <row r="46" spans="1:8" x14ac:dyDescent="0.25">
      <c r="A46" s="14" t="s">
        <v>39</v>
      </c>
      <c r="B46" s="15" t="s">
        <v>51</v>
      </c>
      <c r="C46" s="14" t="s">
        <v>51</v>
      </c>
      <c r="D46" s="16" t="s">
        <v>68</v>
      </c>
      <c r="E46" s="16" t="s">
        <v>41</v>
      </c>
      <c r="F46" s="17">
        <v>0.14876615300000001</v>
      </c>
      <c r="G46" s="18"/>
      <c r="H46" s="14" t="s">
        <v>46</v>
      </c>
    </row>
    <row r="47" spans="1:8" x14ac:dyDescent="0.25">
      <c r="A47" s="14" t="s">
        <v>39</v>
      </c>
      <c r="B47" s="15" t="s">
        <v>51</v>
      </c>
      <c r="C47" s="14" t="s">
        <v>51</v>
      </c>
      <c r="D47" s="16" t="s">
        <v>69</v>
      </c>
      <c r="E47" s="16" t="s">
        <v>41</v>
      </c>
      <c r="F47" s="17">
        <v>0</v>
      </c>
      <c r="G47" s="18"/>
      <c r="H47" s="14" t="s">
        <v>46</v>
      </c>
    </row>
    <row r="48" spans="1:8" x14ac:dyDescent="0.25">
      <c r="A48" s="14" t="s">
        <v>39</v>
      </c>
      <c r="B48" s="15" t="s">
        <v>51</v>
      </c>
      <c r="C48" s="14" t="s">
        <v>51</v>
      </c>
      <c r="D48" s="16" t="s">
        <v>70</v>
      </c>
      <c r="E48" s="16" t="s">
        <v>41</v>
      </c>
      <c r="F48" s="17">
        <v>0.1044765406</v>
      </c>
      <c r="G48" s="18"/>
      <c r="H48" s="14" t="s">
        <v>46</v>
      </c>
    </row>
    <row r="49" spans="1:8" x14ac:dyDescent="0.25">
      <c r="A49" s="14" t="s">
        <v>39</v>
      </c>
      <c r="B49" s="15" t="s">
        <v>51</v>
      </c>
      <c r="C49" s="14" t="s">
        <v>51</v>
      </c>
      <c r="D49" s="16" t="s">
        <v>71</v>
      </c>
      <c r="E49" s="16" t="s">
        <v>41</v>
      </c>
      <c r="F49" s="17">
        <v>0.107776962488985</v>
      </c>
      <c r="G49" s="18"/>
      <c r="H49" s="14" t="s">
        <v>46</v>
      </c>
    </row>
    <row r="50" spans="1:8" x14ac:dyDescent="0.25">
      <c r="A50" s="14" t="s">
        <v>39</v>
      </c>
      <c r="B50" s="15" t="s">
        <v>51</v>
      </c>
      <c r="C50" s="14" t="s">
        <v>51</v>
      </c>
      <c r="D50" s="16" t="s">
        <v>72</v>
      </c>
      <c r="E50" s="16" t="s">
        <v>41</v>
      </c>
      <c r="F50" s="17">
        <v>0.150456456639806</v>
      </c>
      <c r="G50" s="18"/>
      <c r="H50" s="14" t="s">
        <v>46</v>
      </c>
    </row>
    <row r="51" spans="1:8" x14ac:dyDescent="0.25">
      <c r="A51" s="14" t="s">
        <v>39</v>
      </c>
      <c r="B51" s="15" t="s">
        <v>51</v>
      </c>
      <c r="C51" s="14" t="s">
        <v>51</v>
      </c>
      <c r="D51" s="16" t="s">
        <v>73</v>
      </c>
      <c r="E51" s="16" t="s">
        <v>41</v>
      </c>
      <c r="F51" s="17">
        <v>0.23720671693244499</v>
      </c>
      <c r="G51" s="18"/>
      <c r="H51" s="14" t="s">
        <v>46</v>
      </c>
    </row>
    <row r="52" spans="1:8" x14ac:dyDescent="0.25">
      <c r="A52" s="14" t="s">
        <v>39</v>
      </c>
      <c r="B52" s="15" t="s">
        <v>51</v>
      </c>
      <c r="C52" s="14" t="s">
        <v>51</v>
      </c>
      <c r="D52" s="16" t="s">
        <v>74</v>
      </c>
      <c r="E52" s="16" t="s">
        <v>41</v>
      </c>
      <c r="F52" s="17">
        <v>0.56850238799999897</v>
      </c>
      <c r="G52" s="18"/>
      <c r="H52" s="14" t="s">
        <v>46</v>
      </c>
    </row>
    <row r="53" spans="1:8" x14ac:dyDescent="0.25">
      <c r="A53" s="14" t="s">
        <v>39</v>
      </c>
      <c r="B53" s="15" t="s">
        <v>51</v>
      </c>
      <c r="C53" s="14" t="s">
        <v>51</v>
      </c>
      <c r="D53" s="16" t="s">
        <v>75</v>
      </c>
      <c r="E53" s="16" t="s">
        <v>41</v>
      </c>
      <c r="F53" s="17">
        <v>0.57017541467041</v>
      </c>
      <c r="G53" s="18"/>
      <c r="H53" s="14" t="s">
        <v>46</v>
      </c>
    </row>
    <row r="54" spans="1:8" x14ac:dyDescent="0.25">
      <c r="A54" s="14" t="s">
        <v>39</v>
      </c>
      <c r="B54" s="15" t="s">
        <v>51</v>
      </c>
      <c r="C54" s="14" t="s">
        <v>51</v>
      </c>
      <c r="D54" s="16" t="s">
        <v>76</v>
      </c>
      <c r="E54" s="16" t="s">
        <v>41</v>
      </c>
      <c r="F54" s="17">
        <v>0.59050085221308801</v>
      </c>
      <c r="G54" s="18"/>
      <c r="H54" s="14" t="s">
        <v>46</v>
      </c>
    </row>
    <row r="55" spans="1:8" x14ac:dyDescent="0.25">
      <c r="A55" s="14" t="s">
        <v>39</v>
      </c>
      <c r="B55" s="15" t="s">
        <v>51</v>
      </c>
      <c r="C55" s="14" t="s">
        <v>51</v>
      </c>
      <c r="D55" s="16" t="s">
        <v>77</v>
      </c>
      <c r="E55" s="16" t="s">
        <v>41</v>
      </c>
      <c r="F55" s="17">
        <v>0.630883907680443</v>
      </c>
      <c r="G55" s="18"/>
      <c r="H55" s="14" t="s">
        <v>46</v>
      </c>
    </row>
    <row r="56" spans="1:8" x14ac:dyDescent="0.25">
      <c r="A56" s="14" t="s">
        <v>39</v>
      </c>
      <c r="B56" s="15" t="s">
        <v>51</v>
      </c>
      <c r="C56" s="14" t="s">
        <v>51</v>
      </c>
      <c r="D56" s="16" t="s">
        <v>78</v>
      </c>
      <c r="E56" s="16" t="s">
        <v>41</v>
      </c>
      <c r="F56" s="17">
        <v>0.14820019508281501</v>
      </c>
      <c r="G56" s="18"/>
      <c r="H56" s="14" t="s">
        <v>46</v>
      </c>
    </row>
    <row r="57" spans="1:8" x14ac:dyDescent="0.25">
      <c r="A57" s="14" t="s">
        <v>39</v>
      </c>
      <c r="B57" s="15" t="s">
        <v>51</v>
      </c>
      <c r="C57" s="14" t="s">
        <v>51</v>
      </c>
      <c r="D57" s="16" t="s">
        <v>79</v>
      </c>
      <c r="E57" s="16" t="s">
        <v>41</v>
      </c>
      <c r="F57" s="17">
        <v>0.141455247522356</v>
      </c>
      <c r="G57" s="18"/>
      <c r="H57" s="14" t="s">
        <v>46</v>
      </c>
    </row>
    <row r="58" spans="1:8" x14ac:dyDescent="0.25">
      <c r="A58" s="14" t="s">
        <v>39</v>
      </c>
      <c r="B58" s="15" t="s">
        <v>51</v>
      </c>
      <c r="C58" s="14" t="s">
        <v>51</v>
      </c>
      <c r="D58" s="16" t="s">
        <v>80</v>
      </c>
      <c r="E58" s="16" t="s">
        <v>41</v>
      </c>
      <c r="F58" s="17">
        <v>0.168395653018899</v>
      </c>
      <c r="G58" s="18"/>
      <c r="H58" s="14" t="s">
        <v>46</v>
      </c>
    </row>
    <row r="59" spans="1:8" x14ac:dyDescent="0.25">
      <c r="A59" s="14" t="s">
        <v>39</v>
      </c>
      <c r="B59" s="15" t="s">
        <v>51</v>
      </c>
      <c r="C59" s="14" t="s">
        <v>51</v>
      </c>
      <c r="D59" s="16" t="s">
        <v>81</v>
      </c>
      <c r="E59" s="16" t="s">
        <v>41</v>
      </c>
      <c r="F59" s="17">
        <v>0.26425755402158901</v>
      </c>
      <c r="G59" s="18"/>
      <c r="H59" s="14" t="s">
        <v>46</v>
      </c>
    </row>
    <row r="60" spans="1:8" x14ac:dyDescent="0.25">
      <c r="A60" s="4" t="s">
        <v>39</v>
      </c>
      <c r="B60" s="5" t="s">
        <v>52</v>
      </c>
      <c r="C60" s="4" t="s">
        <v>52</v>
      </c>
      <c r="D60" s="6" t="s">
        <v>74</v>
      </c>
      <c r="E60" s="6" t="s">
        <v>41</v>
      </c>
      <c r="F60" s="7">
        <v>0.56850238799999897</v>
      </c>
      <c r="G60" s="29">
        <f>AVERAGE(F60:F72)</f>
        <v>0.42121973674409902</v>
      </c>
      <c r="H60" s="4" t="s">
        <v>46</v>
      </c>
    </row>
    <row r="61" spans="1:8" x14ac:dyDescent="0.25">
      <c r="A61" s="14" t="s">
        <v>39</v>
      </c>
      <c r="B61" s="15" t="s">
        <v>52</v>
      </c>
      <c r="C61" s="14" t="s">
        <v>52</v>
      </c>
      <c r="D61" s="16" t="s">
        <v>75</v>
      </c>
      <c r="E61" s="16" t="s">
        <v>41</v>
      </c>
      <c r="F61" s="17">
        <v>0.57017541467041</v>
      </c>
      <c r="G61" s="18"/>
      <c r="H61" s="14" t="s">
        <v>46</v>
      </c>
    </row>
    <row r="62" spans="1:8" x14ac:dyDescent="0.25">
      <c r="A62" s="14" t="s">
        <v>39</v>
      </c>
      <c r="B62" s="15" t="s">
        <v>52</v>
      </c>
      <c r="C62" s="14" t="s">
        <v>52</v>
      </c>
      <c r="D62" s="16" t="s">
        <v>76</v>
      </c>
      <c r="E62" s="16" t="s">
        <v>41</v>
      </c>
      <c r="F62" s="17">
        <v>0.59050085221308801</v>
      </c>
      <c r="G62" s="18"/>
      <c r="H62" s="14" t="s">
        <v>46</v>
      </c>
    </row>
    <row r="63" spans="1:8" x14ac:dyDescent="0.25">
      <c r="A63" s="14" t="s">
        <v>39</v>
      </c>
      <c r="B63" s="15" t="s">
        <v>52</v>
      </c>
      <c r="C63" s="14" t="s">
        <v>52</v>
      </c>
      <c r="D63" s="16" t="s">
        <v>77</v>
      </c>
      <c r="E63" s="16" t="s">
        <v>41</v>
      </c>
      <c r="F63" s="17">
        <v>0.630883907680443</v>
      </c>
      <c r="G63" s="18"/>
      <c r="H63" s="14" t="s">
        <v>46</v>
      </c>
    </row>
    <row r="64" spans="1:8" x14ac:dyDescent="0.25">
      <c r="A64" s="14" t="s">
        <v>39</v>
      </c>
      <c r="B64" s="15" t="s">
        <v>52</v>
      </c>
      <c r="C64" s="14" t="s">
        <v>52</v>
      </c>
      <c r="D64" s="16" t="s">
        <v>78</v>
      </c>
      <c r="E64" s="16" t="s">
        <v>41</v>
      </c>
      <c r="F64" s="17">
        <v>0.14820019508281501</v>
      </c>
      <c r="G64" s="18"/>
      <c r="H64" s="14" t="s">
        <v>46</v>
      </c>
    </row>
    <row r="65" spans="1:8" x14ac:dyDescent="0.25">
      <c r="A65" s="14" t="s">
        <v>39</v>
      </c>
      <c r="B65" s="15" t="s">
        <v>52</v>
      </c>
      <c r="C65" s="14" t="s">
        <v>52</v>
      </c>
      <c r="D65" s="16" t="s">
        <v>79</v>
      </c>
      <c r="E65" s="16" t="s">
        <v>41</v>
      </c>
      <c r="F65" s="17">
        <v>0.141455247522356</v>
      </c>
      <c r="G65" s="18"/>
      <c r="H65" s="14" t="s">
        <v>46</v>
      </c>
    </row>
    <row r="66" spans="1:8" x14ac:dyDescent="0.25">
      <c r="A66" s="14" t="s">
        <v>39</v>
      </c>
      <c r="B66" s="15" t="s">
        <v>52</v>
      </c>
      <c r="C66" s="14" t="s">
        <v>52</v>
      </c>
      <c r="D66" s="16" t="s">
        <v>80</v>
      </c>
      <c r="E66" s="16" t="s">
        <v>41</v>
      </c>
      <c r="F66" s="17">
        <v>0.168395653018899</v>
      </c>
      <c r="G66" s="18"/>
      <c r="H66" s="14" t="s">
        <v>46</v>
      </c>
    </row>
    <row r="67" spans="1:8" x14ac:dyDescent="0.25">
      <c r="A67" s="14" t="s">
        <v>39</v>
      </c>
      <c r="B67" s="15" t="s">
        <v>52</v>
      </c>
      <c r="C67" s="14" t="s">
        <v>52</v>
      </c>
      <c r="D67" s="16" t="s">
        <v>81</v>
      </c>
      <c r="E67" s="16" t="s">
        <v>41</v>
      </c>
      <c r="F67" s="17">
        <v>0.26425755402158901</v>
      </c>
      <c r="G67" s="18"/>
      <c r="H67" s="14" t="s">
        <v>46</v>
      </c>
    </row>
    <row r="68" spans="1:8" x14ac:dyDescent="0.25">
      <c r="A68" s="14" t="s">
        <v>39</v>
      </c>
      <c r="B68" s="15" t="s">
        <v>52</v>
      </c>
      <c r="C68" s="14" t="s">
        <v>52</v>
      </c>
      <c r="D68" s="16" t="s">
        <v>53</v>
      </c>
      <c r="E68" s="16" t="s">
        <v>41</v>
      </c>
      <c r="F68" s="17">
        <v>2.4315463699999901E-2</v>
      </c>
      <c r="G68" s="18"/>
      <c r="H68" s="14" t="s">
        <v>46</v>
      </c>
    </row>
    <row r="69" spans="1:8" x14ac:dyDescent="0.25">
      <c r="A69" s="14" t="s">
        <v>39</v>
      </c>
      <c r="B69" s="15" t="s">
        <v>52</v>
      </c>
      <c r="C69" s="14" t="s">
        <v>52</v>
      </c>
      <c r="D69" s="16" t="s">
        <v>62</v>
      </c>
      <c r="E69" s="16" t="s">
        <v>41</v>
      </c>
      <c r="F69" s="17">
        <v>0.57089716810000002</v>
      </c>
      <c r="G69" s="18"/>
      <c r="H69" s="14" t="s">
        <v>46</v>
      </c>
    </row>
    <row r="70" spans="1:8" x14ac:dyDescent="0.25">
      <c r="A70" s="14" t="s">
        <v>39</v>
      </c>
      <c r="B70" s="15" t="s">
        <v>52</v>
      </c>
      <c r="C70" s="14" t="s">
        <v>52</v>
      </c>
      <c r="D70" s="16" t="s">
        <v>63</v>
      </c>
      <c r="E70" s="16" t="s">
        <v>41</v>
      </c>
      <c r="F70" s="17">
        <v>0.57256171279228796</v>
      </c>
      <c r="G70" s="18"/>
      <c r="H70" s="14" t="s">
        <v>46</v>
      </c>
    </row>
    <row r="71" spans="1:8" x14ac:dyDescent="0.25">
      <c r="A71" s="14" t="s">
        <v>39</v>
      </c>
      <c r="B71" s="15" t="s">
        <v>52</v>
      </c>
      <c r="C71" s="14" t="s">
        <v>52</v>
      </c>
      <c r="D71" s="16" t="s">
        <v>64</v>
      </c>
      <c r="E71" s="16" t="s">
        <v>41</v>
      </c>
      <c r="F71" s="17">
        <v>0.59277197220139899</v>
      </c>
      <c r="G71" s="18"/>
      <c r="H71" s="14" t="s">
        <v>46</v>
      </c>
    </row>
    <row r="72" spans="1:8" x14ac:dyDescent="0.25">
      <c r="A72" s="9" t="s">
        <v>39</v>
      </c>
      <c r="B72" s="10" t="s">
        <v>52</v>
      </c>
      <c r="C72" s="9" t="s">
        <v>52</v>
      </c>
      <c r="D72" s="11" t="s">
        <v>65</v>
      </c>
      <c r="E72" s="11" t="s">
        <v>41</v>
      </c>
      <c r="F72" s="12">
        <v>0.63293904867000195</v>
      </c>
      <c r="G72" s="13"/>
      <c r="H72" s="9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</dc:creator>
  <cp:lastModifiedBy>user</cp:lastModifiedBy>
  <dcterms:created xsi:type="dcterms:W3CDTF">2025-10-22T13:29:18Z</dcterms:created>
  <dcterms:modified xsi:type="dcterms:W3CDTF">2025-12-29T21:33:53Z</dcterms:modified>
</cp:coreProperties>
</file>